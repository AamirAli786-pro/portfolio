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sh\Downloads\"/>
    </mc:Choice>
  </mc:AlternateContent>
  <xr:revisionPtr revIDLastSave="0" documentId="13_ncr:1_{42D06762-AB2B-4E7F-90A5-43490917030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📋 Instructions" sheetId="1" r:id="rId1"/>
    <sheet name="Dashboard" sheetId="2" r:id="rId2"/>
    <sheet name="RawData" sheetId="3" r:id="rId3"/>
    <sheet name="Report" sheetId="4" r:id="rId4"/>
  </sheets>
  <calcPr calcId="181029"/>
</workbook>
</file>

<file path=xl/calcChain.xml><?xml version="1.0" encoding="utf-8"?>
<calcChain xmlns="http://schemas.openxmlformats.org/spreadsheetml/2006/main">
  <c r="F15" i="2" l="1"/>
  <c r="E15" i="2"/>
  <c r="D15" i="2"/>
  <c r="C15" i="2"/>
  <c r="F14" i="2"/>
  <c r="E14" i="2"/>
  <c r="D14" i="2"/>
  <c r="C14" i="2"/>
  <c r="F13" i="2"/>
  <c r="E13" i="2"/>
  <c r="D13" i="2"/>
  <c r="C13" i="2"/>
  <c r="F12" i="2"/>
  <c r="E12" i="2"/>
  <c r="D12" i="2"/>
  <c r="C12" i="2"/>
  <c r="F11" i="2"/>
  <c r="E11" i="2"/>
  <c r="D11" i="2"/>
  <c r="C11" i="2"/>
  <c r="H4" i="2"/>
  <c r="F4" i="2"/>
  <c r="D4" i="2"/>
  <c r="B4" i="2"/>
  <c r="G15" i="2" l="1"/>
  <c r="G12" i="2"/>
  <c r="G11" i="2"/>
  <c r="G14" i="2"/>
  <c r="G13" i="2"/>
</calcChain>
</file>

<file path=xl/sharedStrings.xml><?xml version="1.0" encoding="utf-8"?>
<sst xmlns="http://schemas.openxmlformats.org/spreadsheetml/2006/main" count="385" uniqueCount="148">
  <si>
    <t>HOW TO USE THIS DEMO FILE</t>
  </si>
  <si>
    <t xml:space="preserve">  STEP 1:  Open this file in Microsoft Excel (enable macros when prompted)</t>
  </si>
  <si>
    <t xml:space="preserve">  STEP 2:  Go to Developer tab → Visual Basic Editor (Alt + F11)</t>
  </si>
  <si>
    <t xml:space="preserve">  STEP 3:  Insert → Module → Paste the code from 'VBA_Code.bas' file</t>
  </si>
  <si>
    <t xml:space="preserve">  STEP 4:  Close VBA editor and go to the Dashboard sheet</t>
  </si>
  <si>
    <t xml:space="preserve">  STEP 5:  Right-click the coloured buttons → Assign Macro → select the macro name</t>
  </si>
  <si>
    <t xml:space="preserve">  MACRO 1:  Generate_Report  →  Reads RawData, creates a formatted report in Report sheet</t>
  </si>
  <si>
    <t xml:space="preserve">  MACRO 2:  Send_Summary     →  Shows a formatted attendance summary popup</t>
  </si>
  <si>
    <t xml:space="preserve">  MACRO 3:  Clear_And_Reset  →  Clears the Report sheet and returns to Dashboard</t>
  </si>
  <si>
    <t xml:space="preserve">  💡 PORTFOLIO TIP:  Record your screen while running each macro — show Before → Click → After</t>
  </si>
  <si>
    <t xml:space="preserve">  The Dashboard auto-updates via formulas. Macros handle the Report sheet.</t>
  </si>
  <si>
    <t>📊  EMPLOYEE ATTENDANCE AUTOMATION</t>
  </si>
  <si>
    <t>Total Employees</t>
  </si>
  <si>
    <t>Present Today</t>
  </si>
  <si>
    <t>Absent Today</t>
  </si>
  <si>
    <t>Avg Hours</t>
  </si>
  <si>
    <t xml:space="preserve">  DAILY ATTENDANCE SUMMARY</t>
  </si>
  <si>
    <t>Department</t>
  </si>
  <si>
    <t>Total</t>
  </si>
  <si>
    <t>Present</t>
  </si>
  <si>
    <t>Absent</t>
  </si>
  <si>
    <t>Leave</t>
  </si>
  <si>
    <t>Attendance %</t>
  </si>
  <si>
    <t>Operations</t>
  </si>
  <si>
    <t>Technical</t>
  </si>
  <si>
    <t>HR</t>
  </si>
  <si>
    <t>Finance</t>
  </si>
  <si>
    <t>Marketing</t>
  </si>
  <si>
    <t>▶  Use Macro Buttons Below to Run Automation</t>
  </si>
  <si>
    <t>1. Generate Report</t>
  </si>
  <si>
    <t>2. Send Summary</t>
  </si>
  <si>
    <t>3. Clear &amp; Reset</t>
  </si>
  <si>
    <t>Automated with Excel VBA  |  Portfolio Project</t>
  </si>
  <si>
    <t>Emp ID</t>
  </si>
  <si>
    <t>Name</t>
  </si>
  <si>
    <t>Status</t>
  </si>
  <si>
    <t>Shift</t>
  </si>
  <si>
    <t>Hours Worked</t>
  </si>
  <si>
    <t>OT Hours</t>
  </si>
  <si>
    <t>Remarks</t>
  </si>
  <si>
    <t>EMP101</t>
  </si>
  <si>
    <t>Arjun Sharma</t>
  </si>
  <si>
    <t>On Leave</t>
  </si>
  <si>
    <t>Morning</t>
  </si>
  <si>
    <t>-</t>
  </si>
  <si>
    <t>Informed</t>
  </si>
  <si>
    <t>EMP102</t>
  </si>
  <si>
    <t>Priya Singh</t>
  </si>
  <si>
    <t>EMP103</t>
  </si>
  <si>
    <t>Rahul Verma</t>
  </si>
  <si>
    <t>Night</t>
  </si>
  <si>
    <t>On time</t>
  </si>
  <si>
    <t>EMP104</t>
  </si>
  <si>
    <t>Neha Gupta</t>
  </si>
  <si>
    <t>EMP105</t>
  </si>
  <si>
    <t>Amit Kumar</t>
  </si>
  <si>
    <t>EMP106</t>
  </si>
  <si>
    <t>Pooja Patel</t>
  </si>
  <si>
    <t>EMP107</t>
  </si>
  <si>
    <t>Vikram Rao</t>
  </si>
  <si>
    <t>EMP108</t>
  </si>
  <si>
    <t>Sunita Joshi</t>
  </si>
  <si>
    <t>Evening</t>
  </si>
  <si>
    <t>EMP109</t>
  </si>
  <si>
    <t>Deepak Mehta</t>
  </si>
  <si>
    <t>EMP110</t>
  </si>
  <si>
    <t>Kavita Nair</t>
  </si>
  <si>
    <t>EMP111</t>
  </si>
  <si>
    <t>Rohan Tiwari</t>
  </si>
  <si>
    <t>EMP112</t>
  </si>
  <si>
    <t>Anita Das</t>
  </si>
  <si>
    <t>EMP113</t>
  </si>
  <si>
    <t>Suresh Mishra</t>
  </si>
  <si>
    <t>EMP114</t>
  </si>
  <si>
    <t>Rekha Saxena</t>
  </si>
  <si>
    <t>EMP115</t>
  </si>
  <si>
    <t>Nikhil Chandra</t>
  </si>
  <si>
    <t>EMP116</t>
  </si>
  <si>
    <t>Meera Reddy</t>
  </si>
  <si>
    <t>EMP117</t>
  </si>
  <si>
    <t>Sanjay Bose</t>
  </si>
  <si>
    <t>EMP118</t>
  </si>
  <si>
    <t>Alka Pandey</t>
  </si>
  <si>
    <t>EMP119</t>
  </si>
  <si>
    <t>Ravi Naik</t>
  </si>
  <si>
    <t>EMP120</t>
  </si>
  <si>
    <t>Geeta Iyer</t>
  </si>
  <si>
    <t>EMP121</t>
  </si>
  <si>
    <t>Tarun Shah</t>
  </si>
  <si>
    <t>EMP122</t>
  </si>
  <si>
    <t>Swati Jain</t>
  </si>
  <si>
    <t>EMP123</t>
  </si>
  <si>
    <t>Prakash Yadav</t>
  </si>
  <si>
    <t>EMP124</t>
  </si>
  <si>
    <t>Divya Agarwal</t>
  </si>
  <si>
    <t>EMP125</t>
  </si>
  <si>
    <t>Manoj Sinha</t>
  </si>
  <si>
    <t>EMP126</t>
  </si>
  <si>
    <t>Ritu Kapoor</t>
  </si>
  <si>
    <t>EMP127</t>
  </si>
  <si>
    <t>Ashish Trivedi</t>
  </si>
  <si>
    <t>EMP128</t>
  </si>
  <si>
    <t>Shweta Bhatt</t>
  </si>
  <si>
    <t>EMP129</t>
  </si>
  <si>
    <t>Kiran Desai</t>
  </si>
  <si>
    <t>EMP130</t>
  </si>
  <si>
    <t>Mohit Tomar</t>
  </si>
  <si>
    <t>EMP131</t>
  </si>
  <si>
    <t>Anjali Dubey</t>
  </si>
  <si>
    <t>EMP132</t>
  </si>
  <si>
    <t>Vivek Malhotra</t>
  </si>
  <si>
    <t>EMP133</t>
  </si>
  <si>
    <t>Sushma Pillai</t>
  </si>
  <si>
    <t>EMP134</t>
  </si>
  <si>
    <t>Rajesh Khanna</t>
  </si>
  <si>
    <t>EMP135</t>
  </si>
  <si>
    <t>Poonam Lal</t>
  </si>
  <si>
    <t>EMP136</t>
  </si>
  <si>
    <t>Hemant Bajaj</t>
  </si>
  <si>
    <t>EMP137</t>
  </si>
  <si>
    <t>Usha Menon</t>
  </si>
  <si>
    <t>EMP138</t>
  </si>
  <si>
    <t>Gaurav Srivastava</t>
  </si>
  <si>
    <t>EMP139</t>
  </si>
  <si>
    <t>Lalita Patil</t>
  </si>
  <si>
    <t>EMP140</t>
  </si>
  <si>
    <t>Arun Chatterjee</t>
  </si>
  <si>
    <t>EMP141</t>
  </si>
  <si>
    <t>Shilpa Banerjee</t>
  </si>
  <si>
    <t>EMP142</t>
  </si>
  <si>
    <t>Dinesh Ghosh</t>
  </si>
  <si>
    <t>EMP143</t>
  </si>
  <si>
    <t>Vandana Mukherjee</t>
  </si>
  <si>
    <t>EMP144</t>
  </si>
  <si>
    <t>Sachin Dey</t>
  </si>
  <si>
    <t>EMP145</t>
  </si>
  <si>
    <t>Mamta Roy</t>
  </si>
  <si>
    <t>EMP146</t>
  </si>
  <si>
    <t>Ajay Bhat</t>
  </si>
  <si>
    <t>EMP147</t>
  </si>
  <si>
    <t>Nisha Kulkarni</t>
  </si>
  <si>
    <t>EMP148</t>
  </si>
  <si>
    <t>Sunil Garg</t>
  </si>
  <si>
    <t>EMP149</t>
  </si>
  <si>
    <t>Asha Wagh</t>
  </si>
  <si>
    <t>EMP150</t>
  </si>
  <si>
    <t>Ramesh Shirke</t>
  </si>
  <si>
    <t>GENERATED REPORT — Run Macro to Populate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</si>
</sst>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6"/>
      <color rgb="FFFFFFFF"/>
      <name val="Arial"/>
    </font>
    <font>
      <b/>
      <sz val="20"/>
      <color rgb="FFFFFFFF"/>
      <name val="Arial"/>
    </font>
    <font>
      <b/>
      <sz val="9"/>
      <color rgb="FFFFFFFF"/>
      <name val="Arial"/>
    </font>
    <font>
      <b/>
      <sz val="11"/>
      <color rgb="FFFFFFFF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sz val="10"/>
      <color rgb="FF1F3864"/>
      <name val="Arial"/>
    </font>
    <font>
      <b/>
      <sz val="10"/>
      <color rgb="FFFFFFFF"/>
      <name val="Arial"/>
    </font>
    <font>
      <sz val="8"/>
      <color rgb="FF888888"/>
      <name val="Arial"/>
    </font>
    <font>
      <b/>
      <sz val="12"/>
      <color rgb="FF595959"/>
      <name val="Arial"/>
    </font>
    <font>
      <b/>
      <sz val="14"/>
      <color rgb="FFFFFFFF"/>
      <name val="Arial"/>
    </font>
    <font>
      <b/>
      <sz val="10"/>
      <color rgb="FF000000"/>
      <name val="Arial"/>
    </font>
    <font>
      <sz val="10"/>
      <color rgb="FF000000"/>
      <name val="Arial"/>
    </font>
    <font>
      <sz val="10"/>
      <color rgb="FF595959"/>
      <name val="Arial"/>
    </font>
  </fonts>
  <fills count="13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1E8449"/>
      </patternFill>
    </fill>
    <fill>
      <patternFill patternType="solid">
        <fgColor rgb="FFE74C3C"/>
      </patternFill>
    </fill>
    <fill>
      <patternFill patternType="solid">
        <fgColor rgb="FF595959"/>
      </patternFill>
    </fill>
    <fill>
      <patternFill patternType="solid">
        <fgColor rgb="FFFFFFFF"/>
      </patternFill>
    </fill>
    <fill>
      <patternFill patternType="solid">
        <fgColor rgb="FFD5F5E3"/>
      </patternFill>
    </fill>
    <fill>
      <patternFill patternType="solid">
        <fgColor rgb="FFD6E4F0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FFDEDE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left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/>
    </xf>
    <xf numFmtId="0" fontId="5" fillId="1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0" fontId="13" fillId="8" borderId="1" xfId="0" applyFont="1" applyFill="1" applyBorder="1" applyAlignment="1">
      <alignment horizontal="left" vertical="center"/>
    </xf>
    <xf numFmtId="0" fontId="7" fillId="11" borderId="1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1" fillId="2" borderId="0" xfId="0" applyFont="1" applyFill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0" fillId="0" borderId="0" xfId="0"/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11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2B75B4"/>
      <color rgb="FFE04034"/>
      <color rgb="FF1E82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220980</xdr:rowOff>
    </xdr:from>
    <xdr:to>
      <xdr:col>7</xdr:col>
      <xdr:colOff>586740</xdr:colOff>
      <xdr:row>20</xdr:row>
      <xdr:rowOff>7620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35A3A43-3314-0EA4-465B-A6FC741DF428}"/>
            </a:ext>
          </a:extLst>
        </xdr:cNvPr>
        <xdr:cNvGrpSpPr/>
      </xdr:nvGrpSpPr>
      <xdr:grpSpPr>
        <a:xfrm>
          <a:off x="205740" y="4221480"/>
          <a:ext cx="6621780" cy="472440"/>
          <a:chOff x="205740" y="4221480"/>
          <a:chExt cx="6621780" cy="472440"/>
        </a:xfrm>
      </xdr:grpSpPr>
      <xdr:sp macro="[0]!Module1.Generate_Report" textlink="">
        <xdr:nvSpPr>
          <xdr:cNvPr id="2" name="Rectangle 1">
            <a:extLst>
              <a:ext uri="{FF2B5EF4-FFF2-40B4-BE49-F238E27FC236}">
                <a16:creationId xmlns:a16="http://schemas.microsoft.com/office/drawing/2014/main" id="{EDFBF2B3-4A37-BD5D-F439-291F1731386F}"/>
              </a:ext>
            </a:extLst>
          </xdr:cNvPr>
          <xdr:cNvSpPr/>
        </xdr:nvSpPr>
        <xdr:spPr>
          <a:xfrm>
            <a:off x="205740" y="4221480"/>
            <a:ext cx="2194560" cy="464820"/>
          </a:xfrm>
          <a:prstGeom prst="rect">
            <a:avLst/>
          </a:prstGeom>
          <a:solidFill>
            <a:srgbClr val="2B75B4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/>
              <a:t>1. Generate Report</a:t>
            </a:r>
          </a:p>
        </xdr:txBody>
      </xdr:sp>
      <xdr:sp macro="[0]!Module1.Send_Summary" textlink="">
        <xdr:nvSpPr>
          <xdr:cNvPr id="3" name="Rectangle 2">
            <a:extLst>
              <a:ext uri="{FF2B5EF4-FFF2-40B4-BE49-F238E27FC236}">
                <a16:creationId xmlns:a16="http://schemas.microsoft.com/office/drawing/2014/main" id="{81DA2026-0ABB-4F72-A604-5A4EFE9D9F92}"/>
              </a:ext>
            </a:extLst>
          </xdr:cNvPr>
          <xdr:cNvSpPr/>
        </xdr:nvSpPr>
        <xdr:spPr>
          <a:xfrm>
            <a:off x="2419350" y="4225290"/>
            <a:ext cx="2194560" cy="464820"/>
          </a:xfrm>
          <a:prstGeom prst="rect">
            <a:avLst/>
          </a:prstGeom>
          <a:solidFill>
            <a:srgbClr val="1E824C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/>
              <a:t>2. Send Summary</a:t>
            </a:r>
          </a:p>
        </xdr:txBody>
      </xdr:sp>
      <xdr:sp macro="[0]!Module1.Clear_And_Reset" textlink="">
        <xdr:nvSpPr>
          <xdr:cNvPr id="4" name="Rectangle 3">
            <a:extLst>
              <a:ext uri="{FF2B5EF4-FFF2-40B4-BE49-F238E27FC236}">
                <a16:creationId xmlns:a16="http://schemas.microsoft.com/office/drawing/2014/main" id="{B62AAB9D-F36A-4C97-A142-11E9E8F826FA}"/>
              </a:ext>
            </a:extLst>
          </xdr:cNvPr>
          <xdr:cNvSpPr/>
        </xdr:nvSpPr>
        <xdr:spPr>
          <a:xfrm>
            <a:off x="4632960" y="4229100"/>
            <a:ext cx="2194560" cy="464820"/>
          </a:xfrm>
          <a:prstGeom prst="rect">
            <a:avLst/>
          </a:prstGeom>
          <a:solidFill>
            <a:srgbClr val="E04034"/>
          </a:solidFill>
          <a:ln>
            <a:solidFill>
              <a:schemeClr val="bg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200" b="1"/>
              <a:t>3. Clear &amp; Reset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14"/>
  <sheetViews>
    <sheetView showGridLines="0" workbookViewId="0"/>
  </sheetViews>
  <sheetFormatPr defaultRowHeight="14.4" x14ac:dyDescent="0.3"/>
  <cols>
    <col min="1" max="1" width="3" customWidth="1"/>
    <col min="2" max="2" width="92.109375" bestFit="1" customWidth="1"/>
    <col min="3" max="3" width="3" customWidth="1"/>
  </cols>
  <sheetData>
    <row r="1" spans="2:2" ht="34.950000000000003" customHeight="1" x14ac:dyDescent="0.3">
      <c r="B1" s="16" t="s">
        <v>0</v>
      </c>
    </row>
    <row r="2" spans="2:2" ht="10.050000000000001" customHeight="1" x14ac:dyDescent="0.3"/>
    <row r="3" spans="2:2" ht="22.05" customHeight="1" x14ac:dyDescent="0.3">
      <c r="B3" s="12" t="s">
        <v>1</v>
      </c>
    </row>
    <row r="4" spans="2:2" ht="22.05" customHeight="1" x14ac:dyDescent="0.3">
      <c r="B4" s="12" t="s">
        <v>2</v>
      </c>
    </row>
    <row r="5" spans="2:2" ht="22.05" customHeight="1" x14ac:dyDescent="0.3">
      <c r="B5" s="12" t="s">
        <v>3</v>
      </c>
    </row>
    <row r="6" spans="2:2" ht="22.05" customHeight="1" x14ac:dyDescent="0.3">
      <c r="B6" s="12" t="s">
        <v>4</v>
      </c>
    </row>
    <row r="7" spans="2:2" ht="22.05" customHeight="1" x14ac:dyDescent="0.3">
      <c r="B7" s="12" t="s">
        <v>5</v>
      </c>
    </row>
    <row r="8" spans="2:2" ht="10.050000000000001" customHeight="1" x14ac:dyDescent="0.3"/>
    <row r="9" spans="2:2" ht="22.05" customHeight="1" x14ac:dyDescent="0.3">
      <c r="B9" s="13" t="s">
        <v>6</v>
      </c>
    </row>
    <row r="10" spans="2:2" ht="22.05" customHeight="1" x14ac:dyDescent="0.3">
      <c r="B10" s="13" t="s">
        <v>7</v>
      </c>
    </row>
    <row r="11" spans="2:2" ht="22.05" customHeight="1" x14ac:dyDescent="0.3">
      <c r="B11" s="13" t="s">
        <v>8</v>
      </c>
    </row>
    <row r="12" spans="2:2" ht="10.050000000000001" customHeight="1" x14ac:dyDescent="0.3"/>
    <row r="13" spans="2:2" ht="22.05" customHeight="1" x14ac:dyDescent="0.3">
      <c r="B13" s="14" t="s">
        <v>9</v>
      </c>
    </row>
    <row r="14" spans="2:2" ht="22.05" customHeight="1" x14ac:dyDescent="0.3">
      <c r="B14" s="15" t="s">
        <v>10</v>
      </c>
    </row>
  </sheetData>
  <mergeCells count="1">
    <mergeCell ref="B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H39"/>
  <sheetViews>
    <sheetView showGridLines="0" tabSelected="1" topLeftCell="A9" workbookViewId="0">
      <selection activeCell="I24" sqref="I24"/>
    </sheetView>
  </sheetViews>
  <sheetFormatPr defaultRowHeight="14.4" x14ac:dyDescent="0.3"/>
  <cols>
    <col min="1" max="1" width="3" customWidth="1"/>
    <col min="2" max="2" width="18" customWidth="1"/>
    <col min="3" max="8" width="14" customWidth="1"/>
    <col min="9" max="9" width="3" customWidth="1"/>
  </cols>
  <sheetData>
    <row r="1" spans="2:8" ht="18" customHeight="1" x14ac:dyDescent="0.3">
      <c r="B1" s="29" t="s">
        <v>11</v>
      </c>
      <c r="C1" s="18"/>
      <c r="D1" s="18"/>
      <c r="E1" s="18"/>
      <c r="F1" s="18"/>
      <c r="G1" s="18"/>
      <c r="H1" s="18"/>
    </row>
    <row r="2" spans="2:8" ht="18" customHeight="1" x14ac:dyDescent="0.3">
      <c r="B2" s="18"/>
      <c r="C2" s="18"/>
      <c r="D2" s="18"/>
      <c r="E2" s="18"/>
      <c r="F2" s="18"/>
      <c r="G2" s="18"/>
      <c r="H2" s="18"/>
    </row>
    <row r="3" spans="2:8" ht="18" customHeight="1" x14ac:dyDescent="0.3"/>
    <row r="4" spans="2:8" ht="18" customHeight="1" x14ac:dyDescent="0.3">
      <c r="B4" s="19">
        <f>COUNTA(RawData!B2:B51)</f>
        <v>50</v>
      </c>
      <c r="C4" s="18"/>
      <c r="D4" s="27">
        <f>COUNTIF(RawData!D2:D51,"Present")</f>
        <v>30</v>
      </c>
      <c r="E4" s="18"/>
      <c r="F4" s="26">
        <f>COUNTIF(RawData!D2:D51,"Absent")</f>
        <v>7</v>
      </c>
      <c r="G4" s="18"/>
      <c r="H4" s="20">
        <f>ROUND(AVERAGE(RawData!F2:F51),1)</f>
        <v>8.5</v>
      </c>
    </row>
    <row r="5" spans="2:8" ht="18" customHeight="1" x14ac:dyDescent="0.3">
      <c r="B5" s="18"/>
      <c r="C5" s="18"/>
      <c r="D5" s="18"/>
      <c r="E5" s="18"/>
      <c r="F5" s="18"/>
      <c r="G5" s="18"/>
      <c r="H5" s="18"/>
    </row>
    <row r="6" spans="2:8" ht="18" customHeight="1" x14ac:dyDescent="0.3">
      <c r="B6" s="18"/>
      <c r="C6" s="18"/>
      <c r="D6" s="18"/>
      <c r="E6" s="18"/>
      <c r="F6" s="18"/>
      <c r="G6" s="18"/>
      <c r="H6" s="18"/>
    </row>
    <row r="7" spans="2:8" ht="18" customHeight="1" x14ac:dyDescent="0.3">
      <c r="B7" s="22" t="s">
        <v>12</v>
      </c>
      <c r="C7" s="18"/>
      <c r="D7" s="22" t="s">
        <v>13</v>
      </c>
      <c r="E7" s="18"/>
      <c r="F7" s="22" t="s">
        <v>14</v>
      </c>
      <c r="G7" s="18"/>
      <c r="H7" s="1" t="s">
        <v>15</v>
      </c>
    </row>
    <row r="8" spans="2:8" ht="18" customHeight="1" x14ac:dyDescent="0.3"/>
    <row r="9" spans="2:8" ht="18" customHeight="1" x14ac:dyDescent="0.3">
      <c r="B9" s="23" t="s">
        <v>16</v>
      </c>
      <c r="C9" s="18"/>
      <c r="D9" s="18"/>
      <c r="E9" s="18"/>
      <c r="F9" s="18"/>
      <c r="G9" s="18"/>
      <c r="H9" s="18"/>
    </row>
    <row r="10" spans="2:8" ht="18" customHeight="1" x14ac:dyDescent="0.3">
      <c r="B10" s="2" t="s">
        <v>17</v>
      </c>
      <c r="C10" s="2" t="s">
        <v>18</v>
      </c>
      <c r="D10" s="2" t="s">
        <v>19</v>
      </c>
      <c r="E10" s="2" t="s">
        <v>20</v>
      </c>
      <c r="F10" s="2" t="s">
        <v>21</v>
      </c>
      <c r="G10" s="2" t="s">
        <v>22</v>
      </c>
    </row>
    <row r="11" spans="2:8" ht="19.95" customHeight="1" x14ac:dyDescent="0.3">
      <c r="B11" s="3" t="s">
        <v>23</v>
      </c>
      <c r="C11" s="4">
        <f>COUNTIF(RawData!C2:C51,B11)</f>
        <v>11</v>
      </c>
      <c r="D11" s="5">
        <f>COUNTIFS(RawData!C2:C51,B11,RawData!D2:D51,"Present")</f>
        <v>7</v>
      </c>
      <c r="E11" s="4">
        <f>COUNTIFS(RawData!C2:C51,B11,RawData!D2:D51,"Absent")</f>
        <v>2</v>
      </c>
      <c r="F11" s="4">
        <f>COUNTIFS(RawData!C2:C51,B11,RawData!D2:D51,"On Leave")</f>
        <v>2</v>
      </c>
      <c r="G11" s="6" t="str">
        <f>IF(C11=0,"-",TEXT(D11/C11,"0.0%"))</f>
        <v>63.6%</v>
      </c>
    </row>
    <row r="12" spans="2:8" ht="19.95" customHeight="1" x14ac:dyDescent="0.3">
      <c r="B12" s="7" t="s">
        <v>24</v>
      </c>
      <c r="C12" s="8">
        <f>COUNTIF(RawData!C2:C51,B12)</f>
        <v>9</v>
      </c>
      <c r="D12" s="5">
        <f>COUNTIFS(RawData!C2:C51,B12,RawData!D2:D51,"Present")</f>
        <v>6</v>
      </c>
      <c r="E12" s="8">
        <f>COUNTIFS(RawData!C2:C51,B12,RawData!D2:D51,"Absent")</f>
        <v>1</v>
      </c>
      <c r="F12" s="8">
        <f>COUNTIFS(RawData!C2:C51,B12,RawData!D2:D51,"On Leave")</f>
        <v>2</v>
      </c>
      <c r="G12" s="6" t="str">
        <f>IF(C12=0,"-",TEXT(D12/C12,"0.0%"))</f>
        <v>66.7%</v>
      </c>
    </row>
    <row r="13" spans="2:8" ht="19.95" customHeight="1" x14ac:dyDescent="0.3">
      <c r="B13" s="3" t="s">
        <v>25</v>
      </c>
      <c r="C13" s="4">
        <f>COUNTIF(RawData!C2:C51,B13)</f>
        <v>12</v>
      </c>
      <c r="D13" s="5">
        <f>COUNTIFS(RawData!C2:C51,B13,RawData!D2:D51,"Present")</f>
        <v>6</v>
      </c>
      <c r="E13" s="4">
        <f>COUNTIFS(RawData!C2:C51,B13,RawData!D2:D51,"Absent")</f>
        <v>2</v>
      </c>
      <c r="F13" s="4">
        <f>COUNTIFS(RawData!C2:C51,B13,RawData!D2:D51,"On Leave")</f>
        <v>4</v>
      </c>
      <c r="G13" s="6" t="str">
        <f>IF(C13=0,"-",TEXT(D13/C13,"0.0%"))</f>
        <v>50.0%</v>
      </c>
    </row>
    <row r="14" spans="2:8" ht="19.95" customHeight="1" x14ac:dyDescent="0.3">
      <c r="B14" s="7" t="s">
        <v>26</v>
      </c>
      <c r="C14" s="8">
        <f>COUNTIF(RawData!C2:C51,B14)</f>
        <v>10</v>
      </c>
      <c r="D14" s="5">
        <f>COUNTIFS(RawData!C2:C51,B14,RawData!D2:D51,"Present")</f>
        <v>6</v>
      </c>
      <c r="E14" s="8">
        <f>COUNTIFS(RawData!C2:C51,B14,RawData!D2:D51,"Absent")</f>
        <v>2</v>
      </c>
      <c r="F14" s="8">
        <f>COUNTIFS(RawData!C2:C51,B14,RawData!D2:D51,"On Leave")</f>
        <v>2</v>
      </c>
      <c r="G14" s="6" t="str">
        <f>IF(C14=0,"-",TEXT(D14/C14,"0.0%"))</f>
        <v>60.0%</v>
      </c>
    </row>
    <row r="15" spans="2:8" ht="19.95" customHeight="1" x14ac:dyDescent="0.3">
      <c r="B15" s="3" t="s">
        <v>27</v>
      </c>
      <c r="C15" s="4">
        <f>COUNTIF(RawData!C2:C51,B15)</f>
        <v>8</v>
      </c>
      <c r="D15" s="5">
        <f>COUNTIFS(RawData!C2:C51,B15,RawData!D2:D51,"Present")</f>
        <v>5</v>
      </c>
      <c r="E15" s="4">
        <f>COUNTIFS(RawData!C2:C51,B15,RawData!D2:D51,"Absent")</f>
        <v>0</v>
      </c>
      <c r="F15" s="4">
        <f>COUNTIFS(RawData!C2:C51,B15,RawData!D2:D51,"On Leave")</f>
        <v>3</v>
      </c>
      <c r="G15" s="6" t="str">
        <f>IF(C15=0,"-",TEXT(D15/C15,"0.0%"))</f>
        <v>62.5%</v>
      </c>
    </row>
    <row r="16" spans="2:8" ht="18" customHeight="1" x14ac:dyDescent="0.3"/>
    <row r="17" spans="2:8" ht="18" customHeight="1" x14ac:dyDescent="0.3">
      <c r="B17" s="24" t="s">
        <v>28</v>
      </c>
      <c r="C17" s="18"/>
      <c r="D17" s="18"/>
      <c r="E17" s="18"/>
      <c r="F17" s="18"/>
      <c r="G17" s="18"/>
      <c r="H17" s="18"/>
    </row>
    <row r="18" spans="2:8" ht="18" customHeight="1" x14ac:dyDescent="0.3"/>
    <row r="19" spans="2:8" ht="18" customHeight="1" x14ac:dyDescent="0.3">
      <c r="B19" s="25" t="s">
        <v>29</v>
      </c>
      <c r="C19" s="18"/>
      <c r="D19" s="28" t="s">
        <v>30</v>
      </c>
      <c r="E19" s="18"/>
      <c r="F19" s="17" t="s">
        <v>31</v>
      </c>
      <c r="G19" s="18"/>
    </row>
    <row r="20" spans="2:8" ht="18" customHeight="1" x14ac:dyDescent="0.3">
      <c r="B20" s="18"/>
      <c r="C20" s="18"/>
      <c r="D20" s="18"/>
      <c r="E20" s="18"/>
      <c r="F20" s="18"/>
      <c r="G20" s="18"/>
    </row>
    <row r="21" spans="2:8" ht="18" customHeight="1" x14ac:dyDescent="0.3"/>
    <row r="22" spans="2:8" ht="18" customHeight="1" x14ac:dyDescent="0.3">
      <c r="B22" s="21" t="s">
        <v>32</v>
      </c>
      <c r="C22" s="18"/>
      <c r="D22" s="18"/>
      <c r="E22" s="18"/>
      <c r="F22" s="18"/>
      <c r="G22" s="18"/>
      <c r="H22" s="18"/>
    </row>
    <row r="23" spans="2:8" ht="18" customHeight="1" x14ac:dyDescent="0.3"/>
    <row r="24" spans="2:8" ht="18" customHeight="1" x14ac:dyDescent="0.3"/>
    <row r="25" spans="2:8" ht="18" customHeight="1" x14ac:dyDescent="0.3"/>
    <row r="26" spans="2:8" ht="18" customHeight="1" x14ac:dyDescent="0.3"/>
    <row r="27" spans="2:8" ht="18" customHeight="1" x14ac:dyDescent="0.3"/>
    <row r="28" spans="2:8" ht="18" customHeight="1" x14ac:dyDescent="0.3"/>
    <row r="29" spans="2:8" ht="18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</sheetData>
  <mergeCells count="14">
    <mergeCell ref="B1:H2"/>
    <mergeCell ref="F7:G7"/>
    <mergeCell ref="F19:G20"/>
    <mergeCell ref="B4:C6"/>
    <mergeCell ref="H4:H6"/>
    <mergeCell ref="B22:H22"/>
    <mergeCell ref="D7:E7"/>
    <mergeCell ref="B7:C7"/>
    <mergeCell ref="B9:H9"/>
    <mergeCell ref="B17:H17"/>
    <mergeCell ref="B19:C20"/>
    <mergeCell ref="F4:G6"/>
    <mergeCell ref="D4:E6"/>
    <mergeCell ref="D19:E20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6" customWidth="1"/>
    <col min="2" max="2" width="12" customWidth="1"/>
    <col min="3" max="3" width="14" customWidth="1"/>
    <col min="4" max="4" width="12" customWidth="1"/>
    <col min="5" max="5" width="14" customWidth="1"/>
    <col min="6" max="7" width="10" customWidth="1"/>
    <col min="8" max="8" width="14" customWidth="1"/>
  </cols>
  <sheetData>
    <row r="1" spans="1:8" x14ac:dyDescent="0.3">
      <c r="A1" s="9" t="s">
        <v>33</v>
      </c>
      <c r="B1" s="9" t="s">
        <v>34</v>
      </c>
      <c r="C1" s="9" t="s">
        <v>17</v>
      </c>
      <c r="D1" s="9" t="s">
        <v>35</v>
      </c>
      <c r="E1" s="9" t="s">
        <v>36</v>
      </c>
      <c r="F1" s="9" t="s">
        <v>37</v>
      </c>
      <c r="G1" s="9" t="s">
        <v>38</v>
      </c>
      <c r="H1" s="9" t="s">
        <v>39</v>
      </c>
    </row>
    <row r="2" spans="1:8" x14ac:dyDescent="0.3">
      <c r="A2" s="8" t="s">
        <v>40</v>
      </c>
      <c r="B2" s="8" t="s">
        <v>41</v>
      </c>
      <c r="C2" s="8" t="s">
        <v>23</v>
      </c>
      <c r="D2" s="10" t="s">
        <v>42</v>
      </c>
      <c r="E2" s="8" t="s">
        <v>43</v>
      </c>
      <c r="F2" s="8" t="s">
        <v>44</v>
      </c>
      <c r="G2" s="8" t="s">
        <v>44</v>
      </c>
      <c r="H2" s="8" t="s">
        <v>45</v>
      </c>
    </row>
    <row r="3" spans="1:8" x14ac:dyDescent="0.3">
      <c r="A3" s="4" t="s">
        <v>46</v>
      </c>
      <c r="B3" s="4" t="s">
        <v>47</v>
      </c>
      <c r="C3" s="4" t="s">
        <v>25</v>
      </c>
      <c r="D3" s="10" t="s">
        <v>42</v>
      </c>
      <c r="E3" s="4" t="s">
        <v>43</v>
      </c>
      <c r="F3" s="4" t="s">
        <v>44</v>
      </c>
      <c r="G3" s="4" t="s">
        <v>44</v>
      </c>
      <c r="H3" s="4" t="s">
        <v>45</v>
      </c>
    </row>
    <row r="4" spans="1:8" x14ac:dyDescent="0.3">
      <c r="A4" s="8" t="s">
        <v>48</v>
      </c>
      <c r="B4" s="8" t="s">
        <v>49</v>
      </c>
      <c r="C4" s="8" t="s">
        <v>24</v>
      </c>
      <c r="D4" s="5" t="s">
        <v>19</v>
      </c>
      <c r="E4" s="8" t="s">
        <v>50</v>
      </c>
      <c r="F4" s="8">
        <v>7.7</v>
      </c>
      <c r="G4" s="8" t="s">
        <v>44</v>
      </c>
      <c r="H4" s="8" t="s">
        <v>51</v>
      </c>
    </row>
    <row r="5" spans="1:8" x14ac:dyDescent="0.3">
      <c r="A5" s="4" t="s">
        <v>52</v>
      </c>
      <c r="B5" s="4" t="s">
        <v>53</v>
      </c>
      <c r="C5" s="4" t="s">
        <v>27</v>
      </c>
      <c r="D5" s="10" t="s">
        <v>42</v>
      </c>
      <c r="E5" s="4" t="s">
        <v>43</v>
      </c>
      <c r="F5" s="4" t="s">
        <v>44</v>
      </c>
      <c r="G5" s="4" t="s">
        <v>44</v>
      </c>
      <c r="H5" s="4" t="s">
        <v>45</v>
      </c>
    </row>
    <row r="6" spans="1:8" x14ac:dyDescent="0.3">
      <c r="A6" s="8" t="s">
        <v>54</v>
      </c>
      <c r="B6" s="8" t="s">
        <v>55</v>
      </c>
      <c r="C6" s="8" t="s">
        <v>26</v>
      </c>
      <c r="D6" s="11" t="s">
        <v>20</v>
      </c>
      <c r="E6" s="8" t="s">
        <v>43</v>
      </c>
      <c r="F6" s="8" t="s">
        <v>44</v>
      </c>
      <c r="G6" s="8" t="s">
        <v>44</v>
      </c>
      <c r="H6" s="8"/>
    </row>
    <row r="7" spans="1:8" x14ac:dyDescent="0.3">
      <c r="A7" s="4" t="s">
        <v>56</v>
      </c>
      <c r="B7" s="4" t="s">
        <v>57</v>
      </c>
      <c r="C7" s="4" t="s">
        <v>23</v>
      </c>
      <c r="D7" s="5" t="s">
        <v>19</v>
      </c>
      <c r="E7" s="4" t="s">
        <v>43</v>
      </c>
      <c r="F7" s="4">
        <v>8</v>
      </c>
      <c r="G7" s="4" t="s">
        <v>44</v>
      </c>
      <c r="H7" s="4" t="s">
        <v>51</v>
      </c>
    </row>
    <row r="8" spans="1:8" x14ac:dyDescent="0.3">
      <c r="A8" s="8" t="s">
        <v>58</v>
      </c>
      <c r="B8" s="8" t="s">
        <v>59</v>
      </c>
      <c r="C8" s="8" t="s">
        <v>23</v>
      </c>
      <c r="D8" s="11" t="s">
        <v>20</v>
      </c>
      <c r="E8" s="8" t="s">
        <v>50</v>
      </c>
      <c r="F8" s="8" t="s">
        <v>44</v>
      </c>
      <c r="G8" s="8" t="s">
        <v>44</v>
      </c>
      <c r="H8" s="8"/>
    </row>
    <row r="9" spans="1:8" x14ac:dyDescent="0.3">
      <c r="A9" s="4" t="s">
        <v>60</v>
      </c>
      <c r="B9" s="4" t="s">
        <v>61</v>
      </c>
      <c r="C9" s="4" t="s">
        <v>27</v>
      </c>
      <c r="D9" s="5" t="s">
        <v>19</v>
      </c>
      <c r="E9" s="4" t="s">
        <v>62</v>
      </c>
      <c r="F9" s="4">
        <v>7.9</v>
      </c>
      <c r="G9" s="4" t="s">
        <v>44</v>
      </c>
      <c r="H9" s="4" t="s">
        <v>51</v>
      </c>
    </row>
    <row r="10" spans="1:8" x14ac:dyDescent="0.3">
      <c r="A10" s="8" t="s">
        <v>63</v>
      </c>
      <c r="B10" s="8" t="s">
        <v>64</v>
      </c>
      <c r="C10" s="8" t="s">
        <v>25</v>
      </c>
      <c r="D10" s="11" t="s">
        <v>20</v>
      </c>
      <c r="E10" s="8" t="s">
        <v>43</v>
      </c>
      <c r="F10" s="8" t="s">
        <v>44</v>
      </c>
      <c r="G10" s="8" t="s">
        <v>44</v>
      </c>
      <c r="H10" s="8"/>
    </row>
    <row r="11" spans="1:8" x14ac:dyDescent="0.3">
      <c r="A11" s="4" t="s">
        <v>65</v>
      </c>
      <c r="B11" s="4" t="s">
        <v>66</v>
      </c>
      <c r="C11" s="4" t="s">
        <v>26</v>
      </c>
      <c r="D11" s="5" t="s">
        <v>19</v>
      </c>
      <c r="E11" s="4" t="s">
        <v>62</v>
      </c>
      <c r="F11" s="4">
        <v>8.1</v>
      </c>
      <c r="G11" s="4">
        <v>0.1</v>
      </c>
      <c r="H11" s="4" t="s">
        <v>51</v>
      </c>
    </row>
    <row r="12" spans="1:8" x14ac:dyDescent="0.3">
      <c r="A12" s="8" t="s">
        <v>67</v>
      </c>
      <c r="B12" s="8" t="s">
        <v>68</v>
      </c>
      <c r="C12" s="8" t="s">
        <v>25</v>
      </c>
      <c r="D12" s="5" t="s">
        <v>19</v>
      </c>
      <c r="E12" s="8" t="s">
        <v>43</v>
      </c>
      <c r="F12" s="8">
        <v>7.7</v>
      </c>
      <c r="G12" s="8" t="s">
        <v>44</v>
      </c>
      <c r="H12" s="8" t="s">
        <v>51</v>
      </c>
    </row>
    <row r="13" spans="1:8" x14ac:dyDescent="0.3">
      <c r="A13" s="4" t="s">
        <v>69</v>
      </c>
      <c r="B13" s="4" t="s">
        <v>70</v>
      </c>
      <c r="C13" s="4" t="s">
        <v>25</v>
      </c>
      <c r="D13" s="5" t="s">
        <v>19</v>
      </c>
      <c r="E13" s="4" t="s">
        <v>62</v>
      </c>
      <c r="F13" s="4">
        <v>8.6999999999999993</v>
      </c>
      <c r="G13" s="4">
        <v>0.7</v>
      </c>
      <c r="H13" s="4" t="s">
        <v>51</v>
      </c>
    </row>
    <row r="14" spans="1:8" x14ac:dyDescent="0.3">
      <c r="A14" s="8" t="s">
        <v>71</v>
      </c>
      <c r="B14" s="8" t="s">
        <v>72</v>
      </c>
      <c r="C14" s="8" t="s">
        <v>26</v>
      </c>
      <c r="D14" s="5" t="s">
        <v>19</v>
      </c>
      <c r="E14" s="8" t="s">
        <v>50</v>
      </c>
      <c r="F14" s="8">
        <v>7.7</v>
      </c>
      <c r="G14" s="8" t="s">
        <v>44</v>
      </c>
      <c r="H14" s="8" t="s">
        <v>51</v>
      </c>
    </row>
    <row r="15" spans="1:8" x14ac:dyDescent="0.3">
      <c r="A15" s="4" t="s">
        <v>73</v>
      </c>
      <c r="B15" s="4" t="s">
        <v>74</v>
      </c>
      <c r="C15" s="4" t="s">
        <v>23</v>
      </c>
      <c r="D15" s="5" t="s">
        <v>19</v>
      </c>
      <c r="E15" s="4" t="s">
        <v>50</v>
      </c>
      <c r="F15" s="4">
        <v>8.1</v>
      </c>
      <c r="G15" s="4">
        <v>0.1</v>
      </c>
      <c r="H15" s="4" t="s">
        <v>51</v>
      </c>
    </row>
    <row r="16" spans="1:8" x14ac:dyDescent="0.3">
      <c r="A16" s="8" t="s">
        <v>75</v>
      </c>
      <c r="B16" s="8" t="s">
        <v>76</v>
      </c>
      <c r="C16" s="8" t="s">
        <v>27</v>
      </c>
      <c r="D16" s="10" t="s">
        <v>42</v>
      </c>
      <c r="E16" s="8" t="s">
        <v>62</v>
      </c>
      <c r="F16" s="8" t="s">
        <v>44</v>
      </c>
      <c r="G16" s="8" t="s">
        <v>44</v>
      </c>
      <c r="H16" s="8" t="s">
        <v>45</v>
      </c>
    </row>
    <row r="17" spans="1:8" x14ac:dyDescent="0.3">
      <c r="A17" s="4" t="s">
        <v>77</v>
      </c>
      <c r="B17" s="4" t="s">
        <v>78</v>
      </c>
      <c r="C17" s="4" t="s">
        <v>24</v>
      </c>
      <c r="D17" s="11" t="s">
        <v>20</v>
      </c>
      <c r="E17" s="4" t="s">
        <v>50</v>
      </c>
      <c r="F17" s="4" t="s">
        <v>44</v>
      </c>
      <c r="G17" s="4" t="s">
        <v>44</v>
      </c>
      <c r="H17" s="4"/>
    </row>
    <row r="18" spans="1:8" x14ac:dyDescent="0.3">
      <c r="A18" s="8" t="s">
        <v>79</v>
      </c>
      <c r="B18" s="8" t="s">
        <v>80</v>
      </c>
      <c r="C18" s="8" t="s">
        <v>23</v>
      </c>
      <c r="D18" s="5" t="s">
        <v>19</v>
      </c>
      <c r="E18" s="8" t="s">
        <v>50</v>
      </c>
      <c r="F18" s="8">
        <v>8</v>
      </c>
      <c r="G18" s="8" t="s">
        <v>44</v>
      </c>
      <c r="H18" s="8" t="s">
        <v>51</v>
      </c>
    </row>
    <row r="19" spans="1:8" x14ac:dyDescent="0.3">
      <c r="A19" s="4" t="s">
        <v>81</v>
      </c>
      <c r="B19" s="4" t="s">
        <v>82</v>
      </c>
      <c r="C19" s="4" t="s">
        <v>23</v>
      </c>
      <c r="D19" s="5" t="s">
        <v>19</v>
      </c>
      <c r="E19" s="4" t="s">
        <v>43</v>
      </c>
      <c r="F19" s="4">
        <v>9.1999999999999993</v>
      </c>
      <c r="G19" s="4">
        <v>1.2</v>
      </c>
      <c r="H19" s="4" t="s">
        <v>51</v>
      </c>
    </row>
    <row r="20" spans="1:8" x14ac:dyDescent="0.3">
      <c r="A20" s="8" t="s">
        <v>83</v>
      </c>
      <c r="B20" s="8" t="s">
        <v>84</v>
      </c>
      <c r="C20" s="8" t="s">
        <v>25</v>
      </c>
      <c r="D20" s="5" t="s">
        <v>19</v>
      </c>
      <c r="E20" s="8" t="s">
        <v>62</v>
      </c>
      <c r="F20" s="8">
        <v>8.8000000000000007</v>
      </c>
      <c r="G20" s="8">
        <v>0.8</v>
      </c>
      <c r="H20" s="8" t="s">
        <v>51</v>
      </c>
    </row>
    <row r="21" spans="1:8" x14ac:dyDescent="0.3">
      <c r="A21" s="4" t="s">
        <v>85</v>
      </c>
      <c r="B21" s="4" t="s">
        <v>86</v>
      </c>
      <c r="C21" s="4" t="s">
        <v>24</v>
      </c>
      <c r="D21" s="5" t="s">
        <v>19</v>
      </c>
      <c r="E21" s="4" t="s">
        <v>62</v>
      </c>
      <c r="F21" s="4">
        <v>8.1999999999999993</v>
      </c>
      <c r="G21" s="4">
        <v>0.2</v>
      </c>
      <c r="H21" s="4" t="s">
        <v>51</v>
      </c>
    </row>
    <row r="22" spans="1:8" x14ac:dyDescent="0.3">
      <c r="A22" s="8" t="s">
        <v>87</v>
      </c>
      <c r="B22" s="8" t="s">
        <v>88</v>
      </c>
      <c r="C22" s="8" t="s">
        <v>25</v>
      </c>
      <c r="D22" s="10" t="s">
        <v>42</v>
      </c>
      <c r="E22" s="8" t="s">
        <v>50</v>
      </c>
      <c r="F22" s="8" t="s">
        <v>44</v>
      </c>
      <c r="G22" s="8" t="s">
        <v>44</v>
      </c>
      <c r="H22" s="8" t="s">
        <v>45</v>
      </c>
    </row>
    <row r="23" spans="1:8" x14ac:dyDescent="0.3">
      <c r="A23" s="4" t="s">
        <v>89</v>
      </c>
      <c r="B23" s="4" t="s">
        <v>90</v>
      </c>
      <c r="C23" s="4" t="s">
        <v>23</v>
      </c>
      <c r="D23" s="10" t="s">
        <v>42</v>
      </c>
      <c r="E23" s="4" t="s">
        <v>50</v>
      </c>
      <c r="F23" s="4" t="s">
        <v>44</v>
      </c>
      <c r="G23" s="4" t="s">
        <v>44</v>
      </c>
      <c r="H23" s="4" t="s">
        <v>45</v>
      </c>
    </row>
    <row r="24" spans="1:8" x14ac:dyDescent="0.3">
      <c r="A24" s="8" t="s">
        <v>91</v>
      </c>
      <c r="B24" s="8" t="s">
        <v>92</v>
      </c>
      <c r="C24" s="8" t="s">
        <v>24</v>
      </c>
      <c r="D24" s="10" t="s">
        <v>42</v>
      </c>
      <c r="E24" s="8" t="s">
        <v>50</v>
      </c>
      <c r="F24" s="8" t="s">
        <v>44</v>
      </c>
      <c r="G24" s="8" t="s">
        <v>44</v>
      </c>
      <c r="H24" s="8" t="s">
        <v>45</v>
      </c>
    </row>
    <row r="25" spans="1:8" x14ac:dyDescent="0.3">
      <c r="A25" s="4" t="s">
        <v>93</v>
      </c>
      <c r="B25" s="4" t="s">
        <v>94</v>
      </c>
      <c r="C25" s="4" t="s">
        <v>24</v>
      </c>
      <c r="D25" s="10" t="s">
        <v>42</v>
      </c>
      <c r="E25" s="4" t="s">
        <v>43</v>
      </c>
      <c r="F25" s="4" t="s">
        <v>44</v>
      </c>
      <c r="G25" s="4" t="s">
        <v>44</v>
      </c>
      <c r="H25" s="4" t="s">
        <v>45</v>
      </c>
    </row>
    <row r="26" spans="1:8" x14ac:dyDescent="0.3">
      <c r="A26" s="8" t="s">
        <v>95</v>
      </c>
      <c r="B26" s="8" t="s">
        <v>96</v>
      </c>
      <c r="C26" s="8" t="s">
        <v>26</v>
      </c>
      <c r="D26" s="5" t="s">
        <v>19</v>
      </c>
      <c r="E26" s="8" t="s">
        <v>62</v>
      </c>
      <c r="F26" s="8">
        <v>9.5</v>
      </c>
      <c r="G26" s="8">
        <v>1.5</v>
      </c>
      <c r="H26" s="8" t="s">
        <v>51</v>
      </c>
    </row>
    <row r="27" spans="1:8" x14ac:dyDescent="0.3">
      <c r="A27" s="4" t="s">
        <v>97</v>
      </c>
      <c r="B27" s="4" t="s">
        <v>98</v>
      </c>
      <c r="C27" s="4" t="s">
        <v>27</v>
      </c>
      <c r="D27" s="10" t="s">
        <v>42</v>
      </c>
      <c r="E27" s="4" t="s">
        <v>43</v>
      </c>
      <c r="F27" s="4" t="s">
        <v>44</v>
      </c>
      <c r="G27" s="4" t="s">
        <v>44</v>
      </c>
      <c r="H27" s="4" t="s">
        <v>45</v>
      </c>
    </row>
    <row r="28" spans="1:8" x14ac:dyDescent="0.3">
      <c r="A28" s="8" t="s">
        <v>99</v>
      </c>
      <c r="B28" s="8" t="s">
        <v>100</v>
      </c>
      <c r="C28" s="8" t="s">
        <v>25</v>
      </c>
      <c r="D28" s="10" t="s">
        <v>42</v>
      </c>
      <c r="E28" s="8" t="s">
        <v>43</v>
      </c>
      <c r="F28" s="8" t="s">
        <v>44</v>
      </c>
      <c r="G28" s="8" t="s">
        <v>44</v>
      </c>
      <c r="H28" s="8" t="s">
        <v>45</v>
      </c>
    </row>
    <row r="29" spans="1:8" x14ac:dyDescent="0.3">
      <c r="A29" s="4" t="s">
        <v>101</v>
      </c>
      <c r="B29" s="4" t="s">
        <v>102</v>
      </c>
      <c r="C29" s="4" t="s">
        <v>23</v>
      </c>
      <c r="D29" s="5" t="s">
        <v>19</v>
      </c>
      <c r="E29" s="4" t="s">
        <v>62</v>
      </c>
      <c r="F29" s="4">
        <v>8.3000000000000007</v>
      </c>
      <c r="G29" s="4">
        <v>0.3</v>
      </c>
      <c r="H29" s="4" t="s">
        <v>51</v>
      </c>
    </row>
    <row r="30" spans="1:8" x14ac:dyDescent="0.3">
      <c r="A30" s="8" t="s">
        <v>103</v>
      </c>
      <c r="B30" s="8" t="s">
        <v>104</v>
      </c>
      <c r="C30" s="8" t="s">
        <v>24</v>
      </c>
      <c r="D30" s="5" t="s">
        <v>19</v>
      </c>
      <c r="E30" s="8" t="s">
        <v>50</v>
      </c>
      <c r="F30" s="8">
        <v>9.3000000000000007</v>
      </c>
      <c r="G30" s="8">
        <v>1.3</v>
      </c>
      <c r="H30" s="8" t="s">
        <v>51</v>
      </c>
    </row>
    <row r="31" spans="1:8" x14ac:dyDescent="0.3">
      <c r="A31" s="4" t="s">
        <v>105</v>
      </c>
      <c r="B31" s="4" t="s">
        <v>106</v>
      </c>
      <c r="C31" s="4" t="s">
        <v>24</v>
      </c>
      <c r="D31" s="5" t="s">
        <v>19</v>
      </c>
      <c r="E31" s="4" t="s">
        <v>50</v>
      </c>
      <c r="F31" s="4">
        <v>8.5</v>
      </c>
      <c r="G31" s="4">
        <v>0.5</v>
      </c>
      <c r="H31" s="4" t="s">
        <v>51</v>
      </c>
    </row>
    <row r="32" spans="1:8" x14ac:dyDescent="0.3">
      <c r="A32" s="8" t="s">
        <v>107</v>
      </c>
      <c r="B32" s="8" t="s">
        <v>108</v>
      </c>
      <c r="C32" s="8" t="s">
        <v>26</v>
      </c>
      <c r="D32" s="10" t="s">
        <v>42</v>
      </c>
      <c r="E32" s="8" t="s">
        <v>43</v>
      </c>
      <c r="F32" s="8" t="s">
        <v>44</v>
      </c>
      <c r="G32" s="8" t="s">
        <v>44</v>
      </c>
      <c r="H32" s="8" t="s">
        <v>45</v>
      </c>
    </row>
    <row r="33" spans="1:8" x14ac:dyDescent="0.3">
      <c r="A33" s="4" t="s">
        <v>109</v>
      </c>
      <c r="B33" s="4" t="s">
        <v>110</v>
      </c>
      <c r="C33" s="4" t="s">
        <v>24</v>
      </c>
      <c r="D33" s="5" t="s">
        <v>19</v>
      </c>
      <c r="E33" s="4" t="s">
        <v>43</v>
      </c>
      <c r="F33" s="4">
        <v>9</v>
      </c>
      <c r="G33" s="4">
        <v>1</v>
      </c>
      <c r="H33" s="4" t="s">
        <v>51</v>
      </c>
    </row>
    <row r="34" spans="1:8" x14ac:dyDescent="0.3">
      <c r="A34" s="8" t="s">
        <v>111</v>
      </c>
      <c r="B34" s="8" t="s">
        <v>112</v>
      </c>
      <c r="C34" s="8" t="s">
        <v>25</v>
      </c>
      <c r="D34" s="11" t="s">
        <v>20</v>
      </c>
      <c r="E34" s="8" t="s">
        <v>50</v>
      </c>
      <c r="F34" s="8" t="s">
        <v>44</v>
      </c>
      <c r="G34" s="8" t="s">
        <v>44</v>
      </c>
      <c r="H34" s="8"/>
    </row>
    <row r="35" spans="1:8" x14ac:dyDescent="0.3">
      <c r="A35" s="4" t="s">
        <v>113</v>
      </c>
      <c r="B35" s="4" t="s">
        <v>114</v>
      </c>
      <c r="C35" s="4" t="s">
        <v>26</v>
      </c>
      <c r="D35" s="11" t="s">
        <v>20</v>
      </c>
      <c r="E35" s="4" t="s">
        <v>50</v>
      </c>
      <c r="F35" s="4" t="s">
        <v>44</v>
      </c>
      <c r="G35" s="4" t="s">
        <v>44</v>
      </c>
      <c r="H35" s="4"/>
    </row>
    <row r="36" spans="1:8" x14ac:dyDescent="0.3">
      <c r="A36" s="8" t="s">
        <v>115</v>
      </c>
      <c r="B36" s="8" t="s">
        <v>116</v>
      </c>
      <c r="C36" s="8" t="s">
        <v>25</v>
      </c>
      <c r="D36" s="5" t="s">
        <v>19</v>
      </c>
      <c r="E36" s="8" t="s">
        <v>43</v>
      </c>
      <c r="F36" s="8">
        <v>9.5</v>
      </c>
      <c r="G36" s="8">
        <v>1.5</v>
      </c>
      <c r="H36" s="8" t="s">
        <v>51</v>
      </c>
    </row>
    <row r="37" spans="1:8" x14ac:dyDescent="0.3">
      <c r="A37" s="4" t="s">
        <v>117</v>
      </c>
      <c r="B37" s="4" t="s">
        <v>118</v>
      </c>
      <c r="C37" s="4" t="s">
        <v>27</v>
      </c>
      <c r="D37" s="5" t="s">
        <v>19</v>
      </c>
      <c r="E37" s="4" t="s">
        <v>62</v>
      </c>
      <c r="F37" s="4">
        <v>7.7</v>
      </c>
      <c r="G37" s="4" t="s">
        <v>44</v>
      </c>
      <c r="H37" s="4" t="s">
        <v>51</v>
      </c>
    </row>
    <row r="38" spans="1:8" x14ac:dyDescent="0.3">
      <c r="A38" s="8" t="s">
        <v>119</v>
      </c>
      <c r="B38" s="8" t="s">
        <v>120</v>
      </c>
      <c r="C38" s="8" t="s">
        <v>23</v>
      </c>
      <c r="D38" s="5" t="s">
        <v>19</v>
      </c>
      <c r="E38" s="8" t="s">
        <v>43</v>
      </c>
      <c r="F38" s="8">
        <v>8.8000000000000007</v>
      </c>
      <c r="G38" s="8">
        <v>0.8</v>
      </c>
      <c r="H38" s="8" t="s">
        <v>51</v>
      </c>
    </row>
    <row r="39" spans="1:8" x14ac:dyDescent="0.3">
      <c r="A39" s="4" t="s">
        <v>121</v>
      </c>
      <c r="B39" s="4" t="s">
        <v>122</v>
      </c>
      <c r="C39" s="4" t="s">
        <v>26</v>
      </c>
      <c r="D39" s="10" t="s">
        <v>42</v>
      </c>
      <c r="E39" s="4" t="s">
        <v>50</v>
      </c>
      <c r="F39" s="4" t="s">
        <v>44</v>
      </c>
      <c r="G39" s="4" t="s">
        <v>44</v>
      </c>
      <c r="H39" s="4" t="s">
        <v>45</v>
      </c>
    </row>
    <row r="40" spans="1:8" x14ac:dyDescent="0.3">
      <c r="A40" s="8" t="s">
        <v>123</v>
      </c>
      <c r="B40" s="8" t="s">
        <v>124</v>
      </c>
      <c r="C40" s="8" t="s">
        <v>26</v>
      </c>
      <c r="D40" s="5" t="s">
        <v>19</v>
      </c>
      <c r="E40" s="8" t="s">
        <v>62</v>
      </c>
      <c r="F40" s="8">
        <v>8.6999999999999993</v>
      </c>
      <c r="G40" s="8">
        <v>0.7</v>
      </c>
      <c r="H40" s="8" t="s">
        <v>51</v>
      </c>
    </row>
    <row r="41" spans="1:8" x14ac:dyDescent="0.3">
      <c r="A41" s="4" t="s">
        <v>125</v>
      </c>
      <c r="B41" s="4" t="s">
        <v>126</v>
      </c>
      <c r="C41" s="4" t="s">
        <v>27</v>
      </c>
      <c r="D41" s="5" t="s">
        <v>19</v>
      </c>
      <c r="E41" s="4" t="s">
        <v>62</v>
      </c>
      <c r="F41" s="4">
        <v>9.4</v>
      </c>
      <c r="G41" s="4">
        <v>1.4</v>
      </c>
      <c r="H41" s="4" t="s">
        <v>51</v>
      </c>
    </row>
    <row r="42" spans="1:8" x14ac:dyDescent="0.3">
      <c r="A42" s="8" t="s">
        <v>127</v>
      </c>
      <c r="B42" s="8" t="s">
        <v>128</v>
      </c>
      <c r="C42" s="8" t="s">
        <v>23</v>
      </c>
      <c r="D42" s="5" t="s">
        <v>19</v>
      </c>
      <c r="E42" s="8" t="s">
        <v>50</v>
      </c>
      <c r="F42" s="8">
        <v>9.3000000000000007</v>
      </c>
      <c r="G42" s="8">
        <v>1.3</v>
      </c>
      <c r="H42" s="8" t="s">
        <v>51</v>
      </c>
    </row>
    <row r="43" spans="1:8" x14ac:dyDescent="0.3">
      <c r="A43" s="4" t="s">
        <v>129</v>
      </c>
      <c r="B43" s="4" t="s">
        <v>130</v>
      </c>
      <c r="C43" s="4" t="s">
        <v>25</v>
      </c>
      <c r="D43" s="5" t="s">
        <v>19</v>
      </c>
      <c r="E43" s="4" t="s">
        <v>43</v>
      </c>
      <c r="F43" s="4">
        <v>8.1</v>
      </c>
      <c r="G43" s="4">
        <v>0.1</v>
      </c>
      <c r="H43" s="4" t="s">
        <v>51</v>
      </c>
    </row>
    <row r="44" spans="1:8" x14ac:dyDescent="0.3">
      <c r="A44" s="8" t="s">
        <v>131</v>
      </c>
      <c r="B44" s="8" t="s">
        <v>132</v>
      </c>
      <c r="C44" s="8" t="s">
        <v>26</v>
      </c>
      <c r="D44" s="5" t="s">
        <v>19</v>
      </c>
      <c r="E44" s="8" t="s">
        <v>43</v>
      </c>
      <c r="F44" s="8">
        <v>9.4</v>
      </c>
      <c r="G44" s="8">
        <v>1.4</v>
      </c>
      <c r="H44" s="8" t="s">
        <v>51</v>
      </c>
    </row>
    <row r="45" spans="1:8" x14ac:dyDescent="0.3">
      <c r="A45" s="4" t="s">
        <v>133</v>
      </c>
      <c r="B45" s="4" t="s">
        <v>134</v>
      </c>
      <c r="C45" s="4" t="s">
        <v>25</v>
      </c>
      <c r="D45" s="10" t="s">
        <v>42</v>
      </c>
      <c r="E45" s="4" t="s">
        <v>50</v>
      </c>
      <c r="F45" s="4" t="s">
        <v>44</v>
      </c>
      <c r="G45" s="4" t="s">
        <v>44</v>
      </c>
      <c r="H45" s="4" t="s">
        <v>45</v>
      </c>
    </row>
    <row r="46" spans="1:8" x14ac:dyDescent="0.3">
      <c r="A46" s="8" t="s">
        <v>135</v>
      </c>
      <c r="B46" s="8" t="s">
        <v>136</v>
      </c>
      <c r="C46" s="8" t="s">
        <v>27</v>
      </c>
      <c r="D46" s="5" t="s">
        <v>19</v>
      </c>
      <c r="E46" s="8" t="s">
        <v>43</v>
      </c>
      <c r="F46" s="8">
        <v>9.1999999999999993</v>
      </c>
      <c r="G46" s="8">
        <v>1.2</v>
      </c>
      <c r="H46" s="8" t="s">
        <v>51</v>
      </c>
    </row>
    <row r="47" spans="1:8" x14ac:dyDescent="0.3">
      <c r="A47" s="4" t="s">
        <v>137</v>
      </c>
      <c r="B47" s="4" t="s">
        <v>138</v>
      </c>
      <c r="C47" s="4" t="s">
        <v>27</v>
      </c>
      <c r="D47" s="5" t="s">
        <v>19</v>
      </c>
      <c r="E47" s="4" t="s">
        <v>50</v>
      </c>
      <c r="F47" s="4">
        <v>7.9</v>
      </c>
      <c r="G47" s="4" t="s">
        <v>44</v>
      </c>
      <c r="H47" s="4" t="s">
        <v>51</v>
      </c>
    </row>
    <row r="48" spans="1:8" x14ac:dyDescent="0.3">
      <c r="A48" s="8" t="s">
        <v>139</v>
      </c>
      <c r="B48" s="8" t="s">
        <v>140</v>
      </c>
      <c r="C48" s="8" t="s">
        <v>24</v>
      </c>
      <c r="D48" s="5" t="s">
        <v>19</v>
      </c>
      <c r="E48" s="8" t="s">
        <v>50</v>
      </c>
      <c r="F48" s="8">
        <v>9.4</v>
      </c>
      <c r="G48" s="8">
        <v>1.4</v>
      </c>
      <c r="H48" s="8" t="s">
        <v>51</v>
      </c>
    </row>
    <row r="49" spans="1:8" x14ac:dyDescent="0.3">
      <c r="A49" s="4" t="s">
        <v>141</v>
      </c>
      <c r="B49" s="4" t="s">
        <v>142</v>
      </c>
      <c r="C49" s="4" t="s">
        <v>23</v>
      </c>
      <c r="D49" s="11" t="s">
        <v>20</v>
      </c>
      <c r="E49" s="4" t="s">
        <v>50</v>
      </c>
      <c r="F49" s="4" t="s">
        <v>44</v>
      </c>
      <c r="G49" s="4" t="s">
        <v>44</v>
      </c>
      <c r="H49" s="4"/>
    </row>
    <row r="50" spans="1:8" x14ac:dyDescent="0.3">
      <c r="A50" s="8" t="s">
        <v>143</v>
      </c>
      <c r="B50" s="8" t="s">
        <v>144</v>
      </c>
      <c r="C50" s="8" t="s">
        <v>26</v>
      </c>
      <c r="D50" s="5" t="s">
        <v>19</v>
      </c>
      <c r="E50" s="8" t="s">
        <v>43</v>
      </c>
      <c r="F50" s="8">
        <v>7.7</v>
      </c>
      <c r="G50" s="8" t="s">
        <v>44</v>
      </c>
      <c r="H50" s="8" t="s">
        <v>51</v>
      </c>
    </row>
    <row r="51" spans="1:8" x14ac:dyDescent="0.3">
      <c r="A51" s="4" t="s">
        <v>145</v>
      </c>
      <c r="B51" s="4" t="s">
        <v>146</v>
      </c>
      <c r="C51" s="4" t="s">
        <v>25</v>
      </c>
      <c r="D51" s="5" t="s">
        <v>19</v>
      </c>
      <c r="E51" s="4" t="s">
        <v>43</v>
      </c>
      <c r="F51" s="4">
        <v>7.6</v>
      </c>
      <c r="G51" s="4" t="s">
        <v>44</v>
      </c>
      <c r="H51" s="4" t="s">
        <v>51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"/>
  <sheetViews>
    <sheetView showGridLines="0" workbookViewId="0">
      <selection sqref="A1:G1"/>
    </sheetView>
  </sheetViews>
  <sheetFormatPr defaultRowHeight="14.4" x14ac:dyDescent="0.3"/>
  <sheetData>
    <row r="1" spans="1:7" ht="15.6" x14ac:dyDescent="0.3">
      <c r="A1" s="30" t="s">
        <v>147</v>
      </c>
      <c r="B1" s="18"/>
      <c r="C1" s="18"/>
      <c r="D1" s="18"/>
      <c r="E1" s="18"/>
      <c r="F1" s="18"/>
      <c r="G1" s="18"/>
    </row>
  </sheetData>
  <mergeCells count="1"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📋 Instructions</vt:lpstr>
      <vt:lpstr>Dashboard</vt:lpstr>
      <vt:lpstr>RawData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Alisha Ali</cp:lastModifiedBy>
  <dcterms:created xsi:type="dcterms:W3CDTF">2026-06-07T13:47:47Z</dcterms:created>
  <dcterms:modified xsi:type="dcterms:W3CDTF">2026-06-07T14:00:50Z</dcterms:modified>
</cp:coreProperties>
</file>